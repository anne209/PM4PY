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\Sommer 2025\Process Mining &amp; Python\Abgabe\"/>
    </mc:Choice>
  </mc:AlternateContent>
  <xr:revisionPtr revIDLastSave="0" documentId="13_ncr:1_{1F7BAEEC-7EAF-4C04-8CEE-F724F1910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sis" sheetId="1" r:id="rId1"/>
    <sheet name="IA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D4" i="2"/>
  <c r="D5" i="2"/>
  <c r="D6" i="2"/>
  <c r="D7" i="2"/>
  <c r="D8" i="2"/>
  <c r="D9" i="2"/>
  <c r="D10" i="2"/>
  <c r="D11" i="2"/>
  <c r="D12" i="2"/>
  <c r="D13" i="2"/>
  <c r="H3" i="2"/>
  <c r="D3" i="2"/>
  <c r="H4" i="1"/>
  <c r="H5" i="1"/>
  <c r="H6" i="1"/>
  <c r="H7" i="1"/>
  <c r="H8" i="1"/>
  <c r="H9" i="1"/>
  <c r="H10" i="1"/>
  <c r="H11" i="1"/>
  <c r="H12" i="1"/>
  <c r="H13" i="1"/>
  <c r="D4" i="1"/>
  <c r="D5" i="1"/>
  <c r="D6" i="1"/>
  <c r="D7" i="1"/>
  <c r="D8" i="1"/>
  <c r="D9" i="1"/>
  <c r="D10" i="1"/>
  <c r="D11" i="1"/>
  <c r="D12" i="1"/>
  <c r="D13" i="1"/>
  <c r="D3" i="1"/>
  <c r="H3" i="1"/>
</calcChain>
</file>

<file path=xl/sharedStrings.xml><?xml version="1.0" encoding="utf-8"?>
<sst xmlns="http://schemas.openxmlformats.org/spreadsheetml/2006/main" count="21" uniqueCount="8">
  <si>
    <t>Heuristic Miner</t>
  </si>
  <si>
    <t>Inductive Miner</t>
  </si>
  <si>
    <t>Dependency Threshold</t>
  </si>
  <si>
    <t>Fitness</t>
  </si>
  <si>
    <t>Precision</t>
  </si>
  <si>
    <t>Noise Threshold</t>
  </si>
  <si>
    <t>F-Score</t>
  </si>
  <si>
    <t>Aus Zeitgründen wurden die Schwellen für 5% der Events des ursprünglichen Datensatzes berechnet.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</si>
</sst>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12" customWidth="1"/>
    <col min="5" max="5" width="10.28515625" customWidth="1"/>
  </cols>
  <sheetData>
    <row r="1" spans="1:8" x14ac:dyDescent="0.25">
      <c r="A1" s="5" t="s">
        <v>0</v>
      </c>
      <c r="B1" s="5"/>
      <c r="C1" s="5"/>
      <c r="D1" s="5"/>
      <c r="E1" s="5" t="s">
        <v>1</v>
      </c>
      <c r="F1" s="5"/>
      <c r="G1" s="5"/>
      <c r="H1" s="5"/>
    </row>
    <row r="2" spans="1:8" ht="30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3</v>
      </c>
      <c r="G2" s="1" t="s">
        <v>4</v>
      </c>
      <c r="H2" s="1" t="s">
        <v>6</v>
      </c>
    </row>
    <row r="3" spans="1:8" x14ac:dyDescent="0.25">
      <c r="A3" s="2">
        <v>0</v>
      </c>
      <c r="B3" s="3">
        <v>0.78549589738210801</v>
      </c>
      <c r="C3" s="3">
        <v>0.94418604651162696</v>
      </c>
      <c r="D3" s="3">
        <f>(2*B3*C3)/(B3+C3)</f>
        <v>0.8575614360993522</v>
      </c>
      <c r="E3" s="2">
        <v>0</v>
      </c>
      <c r="F3" s="3">
        <v>1</v>
      </c>
      <c r="G3" s="3">
        <v>0.26076184040682299</v>
      </c>
      <c r="H3" s="3">
        <f>(2*F3*G3)/(F3+G3)</f>
        <v>0.41365757123911723</v>
      </c>
    </row>
    <row r="4" spans="1:8" x14ac:dyDescent="0.25">
      <c r="A4" s="2">
        <v>0.1</v>
      </c>
      <c r="B4" s="3">
        <v>0.78811315609188004</v>
      </c>
      <c r="C4" s="3">
        <v>0.94418604651162696</v>
      </c>
      <c r="D4" s="3">
        <f>(2*B4*C4)/(B4+C4)</f>
        <v>0.85911884498455227</v>
      </c>
      <c r="E4" s="2">
        <v>0.1</v>
      </c>
      <c r="F4" s="3">
        <v>0.988366589181496</v>
      </c>
      <c r="G4" s="3">
        <v>0.3797631035031</v>
      </c>
      <c r="H4" s="8">
        <f t="shared" ref="H4:H13" si="0">(2*F4*G4)/(F4+G4)</f>
        <v>0.54869821964001353</v>
      </c>
    </row>
    <row r="5" spans="1:8" x14ac:dyDescent="0.25">
      <c r="A5" s="2">
        <v>0.2</v>
      </c>
      <c r="B5" s="3">
        <v>0.81683856181814296</v>
      </c>
      <c r="C5" s="3">
        <v>0.91884057971014399</v>
      </c>
      <c r="D5" s="8">
        <f>(2*B5*C5)/(B5+C5)</f>
        <v>0.86484235445696389</v>
      </c>
      <c r="E5" s="2">
        <v>0.2</v>
      </c>
      <c r="F5" s="3">
        <v>0.98027178379177304</v>
      </c>
      <c r="G5" s="3">
        <v>0.3797631035031</v>
      </c>
      <c r="H5" s="3">
        <f t="shared" si="0"/>
        <v>0.54744339041145551</v>
      </c>
    </row>
    <row r="6" spans="1:8" x14ac:dyDescent="0.25">
      <c r="A6" s="2">
        <v>0.3</v>
      </c>
      <c r="B6" s="3">
        <v>0.85465874638797501</v>
      </c>
      <c r="C6" s="3">
        <v>0.84182590233545596</v>
      </c>
      <c r="D6" s="3">
        <f t="shared" ref="D6:D13" si="1">(2*B6*C6)/(B6+C6)</f>
        <v>0.848193788146961</v>
      </c>
      <c r="E6" s="2">
        <v>0.3</v>
      </c>
      <c r="F6" s="3">
        <v>0.98027178379177304</v>
      </c>
      <c r="G6" s="3">
        <v>0.3797631035031</v>
      </c>
      <c r="H6" s="3">
        <f t="shared" si="0"/>
        <v>0.54744339041145551</v>
      </c>
    </row>
    <row r="7" spans="1:8" x14ac:dyDescent="0.25">
      <c r="A7" s="2">
        <v>0.4</v>
      </c>
      <c r="B7" s="3">
        <v>0.86859097755204395</v>
      </c>
      <c r="C7" s="3">
        <v>0.80634146341463397</v>
      </c>
      <c r="D7" s="3">
        <f t="shared" si="1"/>
        <v>0.83630945680870772</v>
      </c>
      <c r="E7" s="2">
        <v>0.4</v>
      </c>
      <c r="F7" s="3">
        <v>0.98027178379177304</v>
      </c>
      <c r="G7" s="3">
        <v>0.3797631035031</v>
      </c>
      <c r="H7" s="3">
        <f t="shared" si="0"/>
        <v>0.54744339041145551</v>
      </c>
    </row>
    <row r="8" spans="1:8" x14ac:dyDescent="0.25">
      <c r="A8" s="2">
        <v>0.5</v>
      </c>
      <c r="B8" s="3">
        <v>0.90342508125711696</v>
      </c>
      <c r="C8" s="3">
        <v>0.65970250936754804</v>
      </c>
      <c r="D8" s="3">
        <f t="shared" si="1"/>
        <v>0.76256320559568369</v>
      </c>
      <c r="E8" s="2">
        <v>0.5</v>
      </c>
      <c r="F8" s="3">
        <v>0.94642016611098201</v>
      </c>
      <c r="G8" s="3">
        <v>0.374678822501336</v>
      </c>
      <c r="H8" s="3">
        <f t="shared" si="0"/>
        <v>0.53683122383199622</v>
      </c>
    </row>
    <row r="9" spans="1:8" x14ac:dyDescent="0.25">
      <c r="A9" s="2">
        <v>0.6</v>
      </c>
      <c r="B9" s="3">
        <v>0.91467279925173395</v>
      </c>
      <c r="C9" s="3">
        <v>0.61952151186168003</v>
      </c>
      <c r="D9" s="3">
        <f t="shared" si="1"/>
        <v>0.73870626601391354</v>
      </c>
      <c r="E9" s="2">
        <v>0.6</v>
      </c>
      <c r="F9" s="3">
        <v>0.94642016611098201</v>
      </c>
      <c r="G9" s="3">
        <v>0.374678822501336</v>
      </c>
      <c r="H9" s="3">
        <f t="shared" si="0"/>
        <v>0.53683122383199622</v>
      </c>
    </row>
    <row r="10" spans="1:8" x14ac:dyDescent="0.25">
      <c r="A10" s="2">
        <v>0.7</v>
      </c>
      <c r="B10" s="3">
        <v>0.924093750043674</v>
      </c>
      <c r="C10" s="3">
        <v>0.59388814145685098</v>
      </c>
      <c r="D10" s="3">
        <f t="shared" si="1"/>
        <v>0.72307624065637888</v>
      </c>
      <c r="E10" s="2">
        <v>0.7</v>
      </c>
      <c r="F10" s="3">
        <v>0.94642016611098201</v>
      </c>
      <c r="G10" s="3">
        <v>0.374678822501336</v>
      </c>
      <c r="H10" s="3">
        <f t="shared" si="0"/>
        <v>0.53683122383199622</v>
      </c>
    </row>
    <row r="11" spans="1:8" x14ac:dyDescent="0.25">
      <c r="A11" s="2">
        <v>0.8</v>
      </c>
      <c r="B11" s="3">
        <v>0.92222853344250499</v>
      </c>
      <c r="C11" s="3">
        <v>0.66343390804597702</v>
      </c>
      <c r="D11" s="3">
        <f t="shared" si="1"/>
        <v>0.77171239482588883</v>
      </c>
      <c r="E11" s="2">
        <v>0.8</v>
      </c>
      <c r="F11" s="3">
        <v>0.94642016611098201</v>
      </c>
      <c r="G11" s="3">
        <v>0.374678822501336</v>
      </c>
      <c r="H11" s="3">
        <f t="shared" si="0"/>
        <v>0.53683122383199622</v>
      </c>
    </row>
    <row r="12" spans="1:8" x14ac:dyDescent="0.25">
      <c r="A12" s="2">
        <v>0.9</v>
      </c>
      <c r="B12" s="3">
        <v>0.922958492030586</v>
      </c>
      <c r="C12" s="3">
        <v>0.63174096454224105</v>
      </c>
      <c r="D12" s="3">
        <f t="shared" si="1"/>
        <v>0.75007511647707559</v>
      </c>
      <c r="E12" s="2">
        <v>0.9</v>
      </c>
      <c r="F12" s="3">
        <v>0.899206989936432</v>
      </c>
      <c r="G12" s="3">
        <v>0.374678822501336</v>
      </c>
      <c r="H12" s="3">
        <f t="shared" si="0"/>
        <v>0.52895449950827034</v>
      </c>
    </row>
    <row r="13" spans="1:8" x14ac:dyDescent="0.25">
      <c r="A13" s="2">
        <v>0.99</v>
      </c>
      <c r="B13" s="3">
        <v>0.91711562847568395</v>
      </c>
      <c r="C13" s="3">
        <v>0.64189248830435097</v>
      </c>
      <c r="D13" s="3">
        <f t="shared" si="1"/>
        <v>0.75521047836613087</v>
      </c>
      <c r="E13" s="2">
        <v>0.99</v>
      </c>
      <c r="F13" s="3">
        <v>0.899206989936432</v>
      </c>
      <c r="G13" s="3">
        <v>0.374678822501336</v>
      </c>
      <c r="H13" s="3">
        <f t="shared" si="0"/>
        <v>0.52895449950827034</v>
      </c>
    </row>
  </sheetData>
  <mergeCells count="2">
    <mergeCell ref="A1:D1"/>
    <mergeCell ref="E1:H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4DDA-421C-4C3E-96C4-426F9EFD133F}">
  <dimension ref="A1:H15"/>
  <sheetViews>
    <sheetView workbookViewId="0">
      <selection activeCell="D20" sqref="D20"/>
    </sheetView>
  </sheetViews>
  <sheetFormatPr baseColWidth="10" defaultRowHeight="15" x14ac:dyDescent="0.25"/>
  <cols>
    <col min="1" max="1" width="12.42578125" customWidth="1"/>
  </cols>
  <sheetData>
    <row r="1" spans="1:8" x14ac:dyDescent="0.25">
      <c r="A1" s="5" t="s">
        <v>0</v>
      </c>
      <c r="B1" s="5"/>
      <c r="C1" s="5"/>
      <c r="D1" s="5"/>
      <c r="E1" s="5" t="s">
        <v>1</v>
      </c>
      <c r="F1" s="5"/>
      <c r="G1" s="5"/>
      <c r="H1" s="5"/>
    </row>
    <row r="2" spans="1:8" ht="30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3</v>
      </c>
      <c r="G2" s="1" t="s">
        <v>4</v>
      </c>
      <c r="H2" s="1" t="s">
        <v>6</v>
      </c>
    </row>
    <row r="3" spans="1:8" x14ac:dyDescent="0.25">
      <c r="A3" s="6">
        <v>0</v>
      </c>
      <c r="B3" s="9">
        <v>0.85090364347313696</v>
      </c>
      <c r="C3" s="9">
        <v>0.66666666666666596</v>
      </c>
      <c r="D3" s="7">
        <f>(2*B3*C3)/(B3+C3)</f>
        <v>0.74760173134449237</v>
      </c>
      <c r="E3">
        <v>0</v>
      </c>
      <c r="F3" s="9">
        <v>1</v>
      </c>
      <c r="G3" s="9">
        <v>6.2922925182419001E-2</v>
      </c>
      <c r="H3">
        <f>(2*F3*G3)/(F3+G3)</f>
        <v>0.11839602607427092</v>
      </c>
    </row>
    <row r="4" spans="1:8" x14ac:dyDescent="0.25">
      <c r="A4" s="6">
        <v>0.1</v>
      </c>
      <c r="B4" s="9">
        <v>0.87658261156043604</v>
      </c>
      <c r="C4" s="9">
        <v>0.52412632866865405</v>
      </c>
      <c r="D4">
        <f t="shared" ref="D4:D13" si="0">(2*B4*C4)/(B4+C4)</f>
        <v>0.6560106996915569</v>
      </c>
      <c r="E4">
        <v>0.1</v>
      </c>
      <c r="F4" s="9">
        <v>0.94787748590955101</v>
      </c>
      <c r="G4" s="9">
        <v>0.214011887894685</v>
      </c>
      <c r="H4">
        <f t="shared" ref="H4:H13" si="1">(2*F4*G4)/(F4+G4)</f>
        <v>0.3491847930206643</v>
      </c>
    </row>
    <row r="5" spans="1:8" x14ac:dyDescent="0.25">
      <c r="A5" s="6">
        <v>0.2</v>
      </c>
      <c r="B5" s="9">
        <v>0.86373020063561901</v>
      </c>
      <c r="C5" s="9">
        <v>0.52402614778852397</v>
      </c>
      <c r="D5">
        <f t="shared" si="0"/>
        <v>0.65230068705022848</v>
      </c>
      <c r="E5">
        <v>0.2</v>
      </c>
      <c r="F5" s="9">
        <v>0.932350539121928</v>
      </c>
      <c r="G5" s="9">
        <v>0.26664223972819401</v>
      </c>
      <c r="H5">
        <f t="shared" si="1"/>
        <v>0.41468812881705663</v>
      </c>
    </row>
    <row r="6" spans="1:8" x14ac:dyDescent="0.25">
      <c r="A6" s="6">
        <v>0.3</v>
      </c>
      <c r="B6" s="9">
        <v>0.88987392731337001</v>
      </c>
      <c r="C6" s="9">
        <v>0.47062862636042102</v>
      </c>
      <c r="D6">
        <f t="shared" si="0"/>
        <v>0.61565506498249545</v>
      </c>
      <c r="E6">
        <v>0.3</v>
      </c>
      <c r="F6" s="9">
        <v>0.98636775097097495</v>
      </c>
      <c r="G6" s="9">
        <v>0.22068810521892901</v>
      </c>
      <c r="H6">
        <f t="shared" si="1"/>
        <v>0.36067863619493307</v>
      </c>
    </row>
    <row r="7" spans="1:8" x14ac:dyDescent="0.25">
      <c r="A7" s="6">
        <v>0.4</v>
      </c>
      <c r="B7" s="9">
        <v>0.89786868672324704</v>
      </c>
      <c r="C7" s="9">
        <v>0.47046710368260197</v>
      </c>
      <c r="D7">
        <f t="shared" si="0"/>
        <v>0.61741815640837427</v>
      </c>
      <c r="E7">
        <v>0.4</v>
      </c>
      <c r="F7" s="9">
        <v>0.95732710659011899</v>
      </c>
      <c r="G7" s="9">
        <v>0.11067214222591799</v>
      </c>
      <c r="H7">
        <f t="shared" si="1"/>
        <v>0.19840733374058395</v>
      </c>
    </row>
    <row r="8" spans="1:8" x14ac:dyDescent="0.25">
      <c r="A8" s="6">
        <v>0.5</v>
      </c>
      <c r="B8" s="9">
        <v>0.90191929529412795</v>
      </c>
      <c r="C8" s="9">
        <v>0.47038638391325199</v>
      </c>
      <c r="D8">
        <f t="shared" si="0"/>
        <v>0.61830328668468848</v>
      </c>
      <c r="E8">
        <v>0.5</v>
      </c>
      <c r="F8" s="9">
        <v>0.94053600474316001</v>
      </c>
      <c r="G8" s="9">
        <v>0.28305385228437102</v>
      </c>
      <c r="H8" s="7">
        <f t="shared" si="1"/>
        <v>0.43514963421066161</v>
      </c>
    </row>
    <row r="9" spans="1:8" x14ac:dyDescent="0.25">
      <c r="A9" s="6">
        <v>0.6</v>
      </c>
      <c r="B9" s="9">
        <v>0.930657975769273</v>
      </c>
      <c r="C9" s="9">
        <v>0.39747487910114898</v>
      </c>
      <c r="D9">
        <f t="shared" si="0"/>
        <v>0.55704241491639328</v>
      </c>
      <c r="E9">
        <v>0.6</v>
      </c>
      <c r="F9" s="9">
        <v>0.988212641955862</v>
      </c>
      <c r="G9" s="9">
        <v>8.1305757293996403E-2</v>
      </c>
      <c r="H9">
        <f t="shared" si="1"/>
        <v>0.15024963998389654</v>
      </c>
    </row>
    <row r="10" spans="1:8" x14ac:dyDescent="0.25">
      <c r="A10" s="6">
        <v>0.7</v>
      </c>
      <c r="B10" s="9">
        <v>0.93510097721794505</v>
      </c>
      <c r="C10" s="9">
        <v>0.35502560653872001</v>
      </c>
      <c r="D10">
        <f t="shared" si="0"/>
        <v>0.51465460179117972</v>
      </c>
      <c r="E10">
        <v>0.7</v>
      </c>
      <c r="F10" s="9">
        <v>0.98570496637736804</v>
      </c>
      <c r="G10" s="9">
        <v>8.1305757293996403E-2</v>
      </c>
      <c r="H10">
        <f t="shared" si="1"/>
        <v>0.15022058725709506</v>
      </c>
    </row>
    <row r="11" spans="1:8" x14ac:dyDescent="0.25">
      <c r="A11" s="6">
        <v>0.8</v>
      </c>
      <c r="B11" s="9">
        <v>0.95811814875620205</v>
      </c>
      <c r="C11" s="9">
        <v>0.34458781002108602</v>
      </c>
      <c r="D11">
        <f t="shared" si="0"/>
        <v>0.50687698539621184</v>
      </c>
      <c r="E11">
        <v>0.8</v>
      </c>
      <c r="F11" s="9">
        <v>0.96017109059726102</v>
      </c>
      <c r="G11" s="9">
        <v>0.149388248325864</v>
      </c>
      <c r="H11">
        <f t="shared" si="1"/>
        <v>0.25854998878504737</v>
      </c>
    </row>
    <row r="12" spans="1:8" x14ac:dyDescent="0.25">
      <c r="A12" s="6">
        <v>0.9</v>
      </c>
      <c r="B12" s="9">
        <v>0.95914086573917601</v>
      </c>
      <c r="C12" s="9">
        <v>0.33090698060023199</v>
      </c>
      <c r="D12">
        <f t="shared" si="0"/>
        <v>0.49205369979516211</v>
      </c>
      <c r="E12">
        <v>0.9</v>
      </c>
      <c r="F12" s="9">
        <v>0.94819857602676105</v>
      </c>
      <c r="G12" s="9">
        <v>0.20668863261943901</v>
      </c>
      <c r="H12">
        <f t="shared" si="1"/>
        <v>0.33939568412123527</v>
      </c>
    </row>
    <row r="13" spans="1:8" x14ac:dyDescent="0.25">
      <c r="A13" s="6">
        <v>0.99</v>
      </c>
      <c r="B13" s="9">
        <v>0.95665824383262799</v>
      </c>
      <c r="C13" s="9">
        <v>0.336212139642379</v>
      </c>
      <c r="D13">
        <f t="shared" si="0"/>
        <v>0.49755972319665454</v>
      </c>
      <c r="E13">
        <v>0.99</v>
      </c>
      <c r="F13" s="9">
        <v>0.94520937236767399</v>
      </c>
      <c r="G13" s="9">
        <v>0.226568425614909</v>
      </c>
      <c r="H13">
        <f t="shared" si="1"/>
        <v>0.36552083465398327</v>
      </c>
    </row>
    <row r="15" spans="1:8" x14ac:dyDescent="0.25">
      <c r="A15" s="4" t="s">
        <v>7</v>
      </c>
    </row>
  </sheetData>
  <mergeCells count="2">
    <mergeCell ref="A1:D1"/>
    <mergeCell ref="E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Sepsis</vt:lpstr>
      <vt:lpstr>IACS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dcterms:created xsi:type="dcterms:W3CDTF">2015-06-05T18:19:34Z</dcterms:created>
  <dcterms:modified xsi:type="dcterms:W3CDTF">2025-09-14T09:59:39Z</dcterms:modified>
</cp:coreProperties>
</file>